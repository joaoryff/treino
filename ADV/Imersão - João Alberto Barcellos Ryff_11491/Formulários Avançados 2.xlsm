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filterPrivacy="1" codeName="EstaPasta_de_trabalho" hidePivotFieldList="1" defaultThemeVersion="124226"/>
  <xr:revisionPtr revIDLastSave="0" documentId="13_ncr:1_{105FE489-2A0B-4342-9696-88FD844C3DD9}" xr6:coauthVersionLast="43" xr6:coauthVersionMax="43" xr10:uidLastSave="{00000000-0000-0000-0000-000000000000}"/>
  <bookViews>
    <workbookView xWindow="-120" yWindow="-120" windowWidth="20730" windowHeight="11160" activeTab="2" xr2:uid="{00000000-000D-0000-FFFF-FFFF00000000}"/>
  </bookViews>
  <sheets>
    <sheet name="Gráf1" sheetId="41" r:id="rId1"/>
    <sheet name="RelatDin4" sheetId="40" r:id="rId2"/>
    <sheet name="Vendas" sheetId="1" r:id="rId3"/>
    <sheet name="Dados" sheetId="2" r:id="rId4"/>
    <sheet name="Resumo de Vendas" sheetId="33" r:id="rId5"/>
  </sheets>
  <definedNames>
    <definedName name="_xlnm.Print_Area" localSheetId="2">Vendas!$A$3:$H$8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33" l="1"/>
  <c r="B6" i="33"/>
  <c r="C5" i="33"/>
  <c r="B5" i="33"/>
  <c r="C4" i="33"/>
  <c r="B4" i="33"/>
  <c r="C3" i="33"/>
  <c r="B3" i="33"/>
</calcChain>
</file>

<file path=xl/sharedStrings.xml><?xml version="1.0" encoding="utf-8"?>
<sst xmlns="http://schemas.openxmlformats.org/spreadsheetml/2006/main" count="69" uniqueCount="34">
  <si>
    <t>Venda</t>
  </si>
  <si>
    <t>Vendedor</t>
  </si>
  <si>
    <t>Data da Venda</t>
  </si>
  <si>
    <t>Produto</t>
  </si>
  <si>
    <t>Valor</t>
  </si>
  <si>
    <t>Pagamento</t>
  </si>
  <si>
    <t>Parcelas</t>
  </si>
  <si>
    <t>Total da Venda</t>
  </si>
  <si>
    <t>Paulo</t>
  </si>
  <si>
    <t>Cristiane</t>
  </si>
  <si>
    <t>Pedro</t>
  </si>
  <si>
    <t>Renata</t>
  </si>
  <si>
    <t>Tv de LCD</t>
  </si>
  <si>
    <t>Fogão</t>
  </si>
  <si>
    <t>Geladeira</t>
  </si>
  <si>
    <t>Máquina de Lavar</t>
  </si>
  <si>
    <t>Ar Condicionado</t>
  </si>
  <si>
    <t>Microondas</t>
  </si>
  <si>
    <t>Ventilador</t>
  </si>
  <si>
    <t>Aparelho de Som</t>
  </si>
  <si>
    <t>Computador</t>
  </si>
  <si>
    <t>Notebook</t>
  </si>
  <si>
    <t>Liquidificador</t>
  </si>
  <si>
    <t>Batedeira</t>
  </si>
  <si>
    <t>Cartão</t>
  </si>
  <si>
    <t>Dinheiro</t>
  </si>
  <si>
    <t>RESUMO DE VENDAS</t>
  </si>
  <si>
    <t>Quantidade de Vendas</t>
  </si>
  <si>
    <t>Total de Vendas</t>
  </si>
  <si>
    <t>Rótulos de Linha</t>
  </si>
  <si>
    <t>Total Geral</t>
  </si>
  <si>
    <t>Rótulos de Coluna</t>
  </si>
  <si>
    <t>(Tudo)</t>
  </si>
  <si>
    <t>Soma de Parcelas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</si>
</sst>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_);\(&quot;$&quot;#,##0.00\)"/>
    <numFmt numFmtId="165" formatCode="&quot;R$&quot;#,##0.00_);\(&quot;R$&quot;#,##0.00\)"/>
    <numFmt numFmtId="166" formatCode="_-[$R$-416]\ * #,##0.00_-;\-[$R$-416]\ * #,##0.00_-;_-[$R$-416]\ * &quot;-&quot;??_-;_-@_-"/>
    <numFmt numFmtId="167" formatCode="&quot;R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66" fontId="0" fillId="0" borderId="0" xfId="0" applyNumberFormat="1"/>
    <xf numFmtId="0" fontId="1" fillId="0" borderId="1" xfId="0" applyFont="1" applyBorder="1"/>
    <xf numFmtId="166" fontId="1" fillId="0" borderId="1" xfId="0" applyNumberFormat="1" applyFont="1" applyBorder="1"/>
    <xf numFmtId="0" fontId="0" fillId="0" borderId="1" xfId="0" applyBorder="1"/>
    <xf numFmtId="166" fontId="0" fillId="0" borderId="1" xfId="0" applyNumberFormat="1" applyBorder="1"/>
    <xf numFmtId="14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[Formulários Avançados 2.xlsm]RelatDin4!Tabela Dinâmica</c:name>
    <c:fmtId val="0"/>
  </c:pivotSource>
  <c:chart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RelatDin4!$B$3:$B$4</c:f>
              <c:strCache>
                <c:ptCount val="1"/>
                <c:pt idx="0">
                  <c:v>Geladeira</c:v>
                </c:pt>
              </c:strCache>
            </c:strRef>
          </c:tx>
          <c:invertIfNegative val="0"/>
          <c:cat>
            <c:strRef>
              <c:f>RelatDin4!$A$5:$A$7</c:f>
              <c:strCache>
                <c:ptCount val="2"/>
                <c:pt idx="0">
                  <c:v>Cartão</c:v>
                </c:pt>
                <c:pt idx="1">
                  <c:v>Dinheiro</c:v>
                </c:pt>
              </c:strCache>
            </c:strRef>
          </c:cat>
          <c:val>
            <c:numRef>
              <c:f>RelatDin4!$B$5:$B$7</c:f>
              <c:numCache>
                <c:formatCode>General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2-48E2-A7B4-494243E33BBC}"/>
            </c:ext>
          </c:extLst>
        </c:ser>
        <c:ser>
          <c:idx val="1"/>
          <c:order val="1"/>
          <c:tx>
            <c:strRef>
              <c:f>RelatDin4!$C$3:$C$4</c:f>
              <c:strCache>
                <c:ptCount val="1"/>
                <c:pt idx="0">
                  <c:v>Liquidificador</c:v>
                </c:pt>
              </c:strCache>
            </c:strRef>
          </c:tx>
          <c:invertIfNegative val="0"/>
          <c:cat>
            <c:strRef>
              <c:f>RelatDin4!$A$5:$A$7</c:f>
              <c:strCache>
                <c:ptCount val="2"/>
                <c:pt idx="0">
                  <c:v>Cartão</c:v>
                </c:pt>
                <c:pt idx="1">
                  <c:v>Dinheiro</c:v>
                </c:pt>
              </c:strCache>
            </c:strRef>
          </c:cat>
          <c:val>
            <c:numRef>
              <c:f>RelatDin4!$C$5:$C$7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E2-48E2-A7B4-494243E33BBC}"/>
            </c:ext>
          </c:extLst>
        </c:ser>
        <c:ser>
          <c:idx val="2"/>
          <c:order val="2"/>
          <c:tx>
            <c:strRef>
              <c:f>RelatDin4!$D$3:$D$4</c:f>
              <c:strCache>
                <c:ptCount val="1"/>
                <c:pt idx="0">
                  <c:v>Tv de LCD</c:v>
                </c:pt>
              </c:strCache>
            </c:strRef>
          </c:tx>
          <c:invertIfNegative val="0"/>
          <c:cat>
            <c:strRef>
              <c:f>RelatDin4!$A$5:$A$7</c:f>
              <c:strCache>
                <c:ptCount val="2"/>
                <c:pt idx="0">
                  <c:v>Cartão</c:v>
                </c:pt>
                <c:pt idx="1">
                  <c:v>Dinheiro</c:v>
                </c:pt>
              </c:strCache>
            </c:strRef>
          </c:cat>
          <c:val>
            <c:numRef>
              <c:f>RelatDin4!$D$5:$D$7</c:f>
              <c:numCache>
                <c:formatCode>General</c:formatCode>
                <c:ptCount val="2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E2-48E2-A7B4-494243E33BBC}"/>
            </c:ext>
          </c:extLst>
        </c:ser>
        <c:ser>
          <c:idx val="3"/>
          <c:order val="3"/>
          <c:tx>
            <c:strRef>
              <c:f>RelatDin4!$E$3:$E$4</c:f>
              <c:strCache>
                <c:ptCount val="1"/>
                <c:pt idx="0">
                  <c:v>Ventilador</c:v>
                </c:pt>
              </c:strCache>
            </c:strRef>
          </c:tx>
          <c:invertIfNegative val="0"/>
          <c:cat>
            <c:strRef>
              <c:f>RelatDin4!$A$5:$A$7</c:f>
              <c:strCache>
                <c:ptCount val="2"/>
                <c:pt idx="0">
                  <c:v>Cartão</c:v>
                </c:pt>
                <c:pt idx="1">
                  <c:v>Dinheiro</c:v>
                </c:pt>
              </c:strCache>
            </c:strRef>
          </c:cat>
          <c:val>
            <c:numRef>
              <c:f>RelatDin4!$E$5:$E$7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2-48E2-A7B4-494243E33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731760"/>
        <c:axId val="160732152"/>
      </c:barChart>
      <c:catAx>
        <c:axId val="160731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732152"/>
        <c:crosses val="autoZero"/>
        <c:auto val="1"/>
        <c:lblAlgn val="ctr"/>
        <c:lblOffset val="100"/>
        <c:noMultiLvlLbl val="0"/>
      </c:catAx>
      <c:valAx>
        <c:axId val="160732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731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/>
  <sheetViews>
    <sheetView zoomScale="12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6920" cy="60198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0</xdr:row>
          <xdr:rowOff>66675</xdr:rowOff>
        </xdr:from>
        <xdr:to>
          <xdr:col>7</xdr:col>
          <xdr:colOff>885825</xdr:colOff>
          <xdr:row>1</xdr:row>
          <xdr:rowOff>180975</xdr:rowOff>
        </xdr:to>
        <xdr:sp macro="" textlink="">
          <xdr:nvSpPr>
            <xdr:cNvPr id="1026" name="CdmVenda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962025</xdr:colOff>
          <xdr:row>0</xdr:row>
          <xdr:rowOff>47625</xdr:rowOff>
        </xdr:from>
        <xdr:to>
          <xdr:col>5</xdr:col>
          <xdr:colOff>723900</xdr:colOff>
          <xdr:row>1</xdr:row>
          <xdr:rowOff>152400</xdr:rowOff>
        </xdr:to>
        <xdr:sp macro="" textlink="">
          <xdr:nvSpPr>
            <xdr:cNvPr id="1027" name="cdmImprimi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0</xdr:row>
          <xdr:rowOff>66675</xdr:rowOff>
        </xdr:from>
        <xdr:to>
          <xdr:col>3</xdr:col>
          <xdr:colOff>876300</xdr:colOff>
          <xdr:row>1</xdr:row>
          <xdr:rowOff>142875</xdr:rowOff>
        </xdr:to>
        <xdr:sp macro="" textlink="">
          <xdr:nvSpPr>
            <xdr:cNvPr id="1029" name="cdmGrafic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28575</xdr:rowOff>
        </xdr:from>
        <xdr:to>
          <xdr:col>2</xdr:col>
          <xdr:colOff>76200</xdr:colOff>
          <xdr:row>1</xdr:row>
          <xdr:rowOff>180975</xdr:rowOff>
        </xdr:to>
        <xdr:sp macro="" textlink="">
          <xdr:nvSpPr>
            <xdr:cNvPr id="1030" name="cmdTabel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Formul&#225;rios%20Avan&#231;ados%202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2832.599571064813" createdVersion="3" refreshedVersion="5" minRefreshableVersion="3" recordCount="6" xr:uid="{00000000-000A-0000-FFFF-FFFF00000000}">
  <cacheSource type="worksheet">
    <worksheetSource ref="A3:H9" sheet="Vendas" r:id="rId2"/>
  </cacheSource>
  <cacheFields count="8">
    <cacheField name="Venda" numFmtId="0">
      <sharedItems containsSemiMixedTypes="0" containsString="0" containsNumber="1" containsInteger="1" minValue="1" maxValue="6"/>
    </cacheField>
    <cacheField name="Vendedor" numFmtId="0">
      <sharedItems/>
    </cacheField>
    <cacheField name="Data da Venda" numFmtId="14">
      <sharedItems containsSemiMixedTypes="0" containsNonDate="0" containsDate="1" containsString="0" minDate="2017-01-21T00:00:00" maxDate="2017-04-08T00:00:00" count="2">
        <d v="2017-01-21T00:00:00"/>
        <d v="2017-04-07T00:00:00"/>
      </sharedItems>
    </cacheField>
    <cacheField name="Produto" numFmtId="0">
      <sharedItems count="4">
        <s v="Liquidificador"/>
        <s v="Tv de LCD"/>
        <s v="Geladeira"/>
        <s v="Ventilador"/>
      </sharedItems>
    </cacheField>
    <cacheField name="Valor" numFmtId="0">
      <sharedItems containsSemiMixedTypes="0" containsString="0" containsNumber="1" containsInteger="1" minValue="48" maxValue="1240"/>
    </cacheField>
    <cacheField name="Pagamento" numFmtId="0">
      <sharedItems count="2">
        <s v="Cartão"/>
        <s v="Dinheiro"/>
      </sharedItems>
    </cacheField>
    <cacheField name="Parcelas" numFmtId="0">
      <sharedItems containsSemiMixedTypes="0" containsString="0" containsNumber="1" containsInteger="1" minValue="0" maxValue="10"/>
    </cacheField>
    <cacheField name="Total da Venda" numFmtId="0">
      <sharedItems containsSemiMixedTypes="0" containsString="0" containsNumber="1" minValue="48" maxValue="1562.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n v="1"/>
    <s v="Paulo"/>
    <x v="0"/>
    <x v="0"/>
    <n v="99"/>
    <x v="0"/>
    <n v="2"/>
    <n v="118.8"/>
  </r>
  <r>
    <n v="2"/>
    <s v="Cristiane"/>
    <x v="0"/>
    <x v="1"/>
    <n v="1240"/>
    <x v="0"/>
    <n v="8"/>
    <n v="1562.4"/>
  </r>
  <r>
    <n v="3"/>
    <s v="Pedro"/>
    <x v="0"/>
    <x v="2"/>
    <n v="550"/>
    <x v="1"/>
    <n v="0"/>
    <n v="550"/>
  </r>
  <r>
    <n v="4"/>
    <s v="Renata"/>
    <x v="0"/>
    <x v="3"/>
    <n v="48"/>
    <x v="1"/>
    <n v="1"/>
    <n v="48"/>
  </r>
  <r>
    <n v="5"/>
    <s v="Cristiane"/>
    <x v="0"/>
    <x v="1"/>
    <n v="1240"/>
    <x v="0"/>
    <n v="10"/>
    <n v="1562.4"/>
  </r>
  <r>
    <n v="6"/>
    <s v="Paulo"/>
    <x v="1"/>
    <x v="1"/>
    <n v="1240"/>
    <x v="0"/>
    <n v="0"/>
    <n v="148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" cacheId="0" applyNumberFormats="0" applyBorderFormats="0" applyFontFormats="0" applyPatternFormats="0" applyAlignmentFormats="0" applyWidthHeightFormats="1" dataCaption="Valores" updatedVersion="5" minRefreshableVersion="3" showCalcMbrs="0" useAutoFormatting="1" itemPrintTitles="1" createdVersion="3" indent="0" outline="1" outlineData="1" multipleFieldFilters="0" chartFormat="1">
  <location ref="A3:F7" firstHeaderRow="1" firstDataRow="2" firstDataCol="1" rowPageCount="1" colPageCount="1"/>
  <pivotFields count="8">
    <pivotField showAll="0"/>
    <pivotField showAll="0"/>
    <pivotField axis="axisPage" numFmtId="14" showAll="0">
      <items count="3">
        <item x="0"/>
        <item x="1"/>
        <item t="default"/>
      </items>
    </pivotField>
    <pivotField axis="axisCol" showAll="0">
      <items count="5">
        <item x="2"/>
        <item x="0"/>
        <item x="1"/>
        <item x="3"/>
        <item t="default"/>
      </items>
    </pivotField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</pivotFields>
  <rowFields count="1">
    <field x="5"/>
  </rowFields>
  <rowItems count="3">
    <i>
      <x/>
    </i>
    <i>
      <x v="1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pageFields count="1">
    <pageField fld="2" hier="-1"/>
  </pageFields>
  <dataFields count="1">
    <dataField name="Soma de Parcelas" fld="6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7"/>
  <sheetViews>
    <sheetView workbookViewId="0"/>
  </sheetViews>
  <sheetFormatPr defaultRowHeight="15" x14ac:dyDescent="0.25"/>
  <cols>
    <col min="1" max="1" width="18" bestFit="1" customWidth="1"/>
    <col min="2" max="2" width="19.5703125" bestFit="1" customWidth="1"/>
    <col min="3" max="3" width="13.28515625" bestFit="1" customWidth="1"/>
    <col min="4" max="4" width="9.42578125" bestFit="1" customWidth="1"/>
    <col min="5" max="5" width="10.42578125" bestFit="1" customWidth="1"/>
    <col min="6" max="6" width="10.7109375" bestFit="1" customWidth="1"/>
  </cols>
  <sheetData>
    <row r="1" spans="1:6" x14ac:dyDescent="0.25">
      <c r="A1" s="12" t="s">
        <v>2</v>
      </c>
      <c r="B1" t="s">
        <v>32</v>
      </c>
    </row>
    <row r="3" spans="1:6" x14ac:dyDescent="0.25">
      <c r="A3" s="12" t="s">
        <v>33</v>
      </c>
      <c r="B3" s="12" t="s">
        <v>31</v>
      </c>
    </row>
    <row r="4" spans="1:6" x14ac:dyDescent="0.25">
      <c r="A4" s="12" t="s">
        <v>29</v>
      </c>
      <c r="B4" t="s">
        <v>14</v>
      </c>
      <c r="C4" t="s">
        <v>22</v>
      </c>
      <c r="D4" t="s">
        <v>12</v>
      </c>
      <c r="E4" t="s">
        <v>18</v>
      </c>
      <c r="F4" t="s">
        <v>30</v>
      </c>
    </row>
    <row r="5" spans="1:6" x14ac:dyDescent="0.25">
      <c r="A5" s="13" t="s">
        <v>24</v>
      </c>
      <c r="B5" s="14"/>
      <c r="C5" s="14">
        <v>2</v>
      </c>
      <c r="D5" s="14">
        <v>18</v>
      </c>
      <c r="E5" s="14"/>
      <c r="F5" s="14">
        <v>20</v>
      </c>
    </row>
    <row r="6" spans="1:6" x14ac:dyDescent="0.25">
      <c r="A6" s="13" t="s">
        <v>25</v>
      </c>
      <c r="B6" s="14">
        <v>0</v>
      </c>
      <c r="C6" s="14"/>
      <c r="D6" s="14"/>
      <c r="E6" s="14">
        <v>1</v>
      </c>
      <c r="F6" s="14">
        <v>1</v>
      </c>
    </row>
    <row r="7" spans="1:6" x14ac:dyDescent="0.25">
      <c r="A7" s="13" t="s">
        <v>30</v>
      </c>
      <c r="B7" s="14">
        <v>0</v>
      </c>
      <c r="C7" s="14">
        <v>2</v>
      </c>
      <c r="D7" s="14">
        <v>18</v>
      </c>
      <c r="E7" s="14">
        <v>1</v>
      </c>
      <c r="F7" s="14">
        <v>21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3:H10"/>
  <sheetViews>
    <sheetView tabSelected="1" workbookViewId="0">
      <selection activeCell="A10" sqref="A10"/>
    </sheetView>
  </sheetViews>
  <sheetFormatPr defaultRowHeight="15" x14ac:dyDescent="0.25"/>
  <cols>
    <col min="2" max="2" width="9.85546875" bestFit="1" customWidth="1"/>
    <col min="3" max="3" width="13.85546875" bestFit="1" customWidth="1"/>
    <col min="4" max="4" width="17.28515625" customWidth="1"/>
    <col min="5" max="6" width="11" bestFit="1" customWidth="1"/>
    <col min="8" max="8" width="14.28515625" bestFit="1" customWidth="1"/>
  </cols>
  <sheetData>
    <row r="3" spans="1:8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</row>
    <row r="4" spans="1:8" x14ac:dyDescent="0.25">
      <c r="A4">
        <v>1</v>
      </c>
      <c r="B4" t="s">
        <v>8</v>
      </c>
      <c r="C4" s="6">
        <v>42756</v>
      </c>
      <c r="D4" t="s">
        <v>22</v>
      </c>
      <c r="E4" s="7">
        <v>99</v>
      </c>
      <c r="F4" t="s">
        <v>24</v>
      </c>
      <c r="G4">
        <v>2</v>
      </c>
      <c r="H4" s="7">
        <v>118.8</v>
      </c>
    </row>
    <row r="5" spans="1:8" x14ac:dyDescent="0.25">
      <c r="A5">
        <v>2</v>
      </c>
      <c r="B5" t="s">
        <v>9</v>
      </c>
      <c r="C5" s="6">
        <v>42756</v>
      </c>
      <c r="D5" t="s">
        <v>12</v>
      </c>
      <c r="E5" s="7">
        <v>1240</v>
      </c>
      <c r="F5" t="s">
        <v>24</v>
      </c>
      <c r="G5">
        <v>8</v>
      </c>
      <c r="H5" s="7">
        <v>1562.4</v>
      </c>
    </row>
    <row r="6" spans="1:8" x14ac:dyDescent="0.25">
      <c r="A6">
        <v>3</v>
      </c>
      <c r="B6" t="s">
        <v>10</v>
      </c>
      <c r="C6" s="6">
        <v>42756</v>
      </c>
      <c r="D6" t="s">
        <v>14</v>
      </c>
      <c r="E6" s="7">
        <v>550</v>
      </c>
      <c r="F6" t="s">
        <v>25</v>
      </c>
      <c r="G6">
        <v>0</v>
      </c>
      <c r="H6" s="7">
        <v>550</v>
      </c>
    </row>
    <row r="7" spans="1:8" x14ac:dyDescent="0.25">
      <c r="A7">
        <v>4</v>
      </c>
      <c r="B7" t="s">
        <v>11</v>
      </c>
      <c r="C7" s="6">
        <v>42756</v>
      </c>
      <c r="D7" t="s">
        <v>18</v>
      </c>
      <c r="E7" s="8">
        <v>48</v>
      </c>
      <c r="F7" t="s">
        <v>25</v>
      </c>
      <c r="G7">
        <v>1</v>
      </c>
      <c r="H7" s="8">
        <v>48</v>
      </c>
    </row>
    <row r="8" spans="1:8" x14ac:dyDescent="0.25">
      <c r="A8">
        <v>5</v>
      </c>
      <c r="B8" t="s">
        <v>9</v>
      </c>
      <c r="C8" s="6">
        <v>42756</v>
      </c>
      <c r="D8" t="s">
        <v>12</v>
      </c>
      <c r="E8" s="8">
        <v>1240</v>
      </c>
      <c r="F8" t="s">
        <v>24</v>
      </c>
      <c r="G8">
        <v>10</v>
      </c>
      <c r="H8" s="8">
        <v>1562.4</v>
      </c>
    </row>
    <row r="9" spans="1:8" x14ac:dyDescent="0.25">
      <c r="A9">
        <v>6</v>
      </c>
      <c r="B9" t="s">
        <v>8</v>
      </c>
      <c r="C9" s="6">
        <v>42832</v>
      </c>
      <c r="D9" t="s">
        <v>12</v>
      </c>
      <c r="E9" s="8">
        <v>1240</v>
      </c>
      <c r="F9" t="s">
        <v>24</v>
      </c>
      <c r="G9">
        <v>0</v>
      </c>
      <c r="H9" s="8">
        <v>1488</v>
      </c>
    </row>
    <row r="10" spans="1:8" x14ac:dyDescent="0.25">
      <c r="A10">
        <v>7</v>
      </c>
      <c r="B10" t="s">
        <v>10</v>
      </c>
      <c r="C10" s="6">
        <v>43435</v>
      </c>
      <c r="D10" t="s">
        <v>13</v>
      </c>
      <c r="E10" s="15">
        <v>790</v>
      </c>
      <c r="F10" t="s">
        <v>24</v>
      </c>
      <c r="G10">
        <v>2</v>
      </c>
      <c r="H10" s="15">
        <v>1068</v>
      </c>
    </row>
  </sheetData>
  <pageMargins left="0.7" right="0.7" top="0.75" bottom="0.75" header="0.3" footer="0.3"/>
  <pageSetup paperSize="9" orientation="portrait" r:id="rId1"/>
  <headerFooter>
    <oddHeader>&amp;CCURSO ADV INFORMÁTICA&amp;R&amp;D</oddHeader>
    <oddFooter>&amp;CEXCEL VBA 2013&amp;RPágina &amp;P de &amp;N</oddFooter>
  </headerFooter>
  <drawing r:id="rId2"/>
  <legacyDrawing r:id="rId3"/>
  <controls>
    <mc:AlternateContent xmlns:mc="http://schemas.openxmlformats.org/markup-compatibility/2006">
      <mc:Choice Requires="x14">
        <control shapeId="1030" r:id="rId4" name="cmdTabela">
          <controlPr defaultSize="0" autoLine="0" autoPict="0" r:id="rId5">
            <anchor moveWithCells="1">
              <from>
                <xdr:col>0</xdr:col>
                <xdr:colOff>104775</xdr:colOff>
                <xdr:row>0</xdr:row>
                <xdr:rowOff>28575</xdr:rowOff>
              </from>
              <to>
                <xdr:col>2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30" r:id="rId4" name="cmdTabela"/>
      </mc:Fallback>
    </mc:AlternateContent>
    <mc:AlternateContent xmlns:mc="http://schemas.openxmlformats.org/markup-compatibility/2006">
      <mc:Choice Requires="x14">
        <control shapeId="1026" r:id="rId6" name="CdmVendas">
          <controlPr defaultSize="0" autoLine="0" r:id="rId7">
            <anchor moveWithCells="1">
              <from>
                <xdr:col>6</xdr:col>
                <xdr:colOff>171450</xdr:colOff>
                <xdr:row>0</xdr:row>
                <xdr:rowOff>66675</xdr:rowOff>
              </from>
              <to>
                <xdr:col>7</xdr:col>
                <xdr:colOff>885825</xdr:colOff>
                <xdr:row>1</xdr:row>
                <xdr:rowOff>180975</xdr:rowOff>
              </to>
            </anchor>
          </controlPr>
        </control>
      </mc:Choice>
      <mc:Fallback>
        <control shapeId="1026" r:id="rId6" name="CdmVendas"/>
      </mc:Fallback>
    </mc:AlternateContent>
    <mc:AlternateContent xmlns:mc="http://schemas.openxmlformats.org/markup-compatibility/2006">
      <mc:Choice Requires="x14">
        <control shapeId="1027" r:id="rId8" name="cdmImprimir">
          <controlPr defaultSize="0" autoLine="0" r:id="rId9">
            <anchor moveWithCells="1">
              <from>
                <xdr:col>3</xdr:col>
                <xdr:colOff>962025</xdr:colOff>
                <xdr:row>0</xdr:row>
                <xdr:rowOff>47625</xdr:rowOff>
              </from>
              <to>
                <xdr:col>5</xdr:col>
                <xdr:colOff>723900</xdr:colOff>
                <xdr:row>1</xdr:row>
                <xdr:rowOff>152400</xdr:rowOff>
              </to>
            </anchor>
          </controlPr>
        </control>
      </mc:Choice>
      <mc:Fallback>
        <control shapeId="1027" r:id="rId8" name="cdmImprimir"/>
      </mc:Fallback>
    </mc:AlternateContent>
    <mc:AlternateContent xmlns:mc="http://schemas.openxmlformats.org/markup-compatibility/2006">
      <mc:Choice Requires="x14">
        <control shapeId="1029" r:id="rId10" name="cdmGrafico">
          <controlPr defaultSize="0" autoLine="0" r:id="rId11">
            <anchor moveWithCells="1">
              <from>
                <xdr:col>2</xdr:col>
                <xdr:colOff>276225</xdr:colOff>
                <xdr:row>0</xdr:row>
                <xdr:rowOff>66675</xdr:rowOff>
              </from>
              <to>
                <xdr:col>3</xdr:col>
                <xdr:colOff>876300</xdr:colOff>
                <xdr:row>1</xdr:row>
                <xdr:rowOff>142875</xdr:rowOff>
              </to>
            </anchor>
          </controlPr>
        </control>
      </mc:Choice>
      <mc:Fallback>
        <control shapeId="1029" r:id="rId10" name="cdmGrafic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/>
  <dimension ref="B2:D14"/>
  <sheetViews>
    <sheetView workbookViewId="0">
      <selection activeCell="C8" sqref="C3:C14"/>
    </sheetView>
  </sheetViews>
  <sheetFormatPr defaultRowHeight="15" x14ac:dyDescent="0.25"/>
  <cols>
    <col min="2" max="2" width="16.5703125" bestFit="1" customWidth="1"/>
    <col min="3" max="3" width="12.140625" style="1" bestFit="1" customWidth="1"/>
    <col min="4" max="4" width="12.140625" bestFit="1" customWidth="1"/>
  </cols>
  <sheetData>
    <row r="2" spans="2:4" x14ac:dyDescent="0.25">
      <c r="B2" s="2" t="s">
        <v>1</v>
      </c>
      <c r="C2" s="2" t="s">
        <v>3</v>
      </c>
      <c r="D2" s="3" t="s">
        <v>4</v>
      </c>
    </row>
    <row r="3" spans="2:4" x14ac:dyDescent="0.25">
      <c r="B3" s="4" t="s">
        <v>8</v>
      </c>
      <c r="C3" s="4" t="s">
        <v>12</v>
      </c>
      <c r="D3" s="5">
        <v>1240</v>
      </c>
    </row>
    <row r="4" spans="2:4" x14ac:dyDescent="0.25">
      <c r="B4" s="4" t="s">
        <v>9</v>
      </c>
      <c r="C4" s="4" t="s">
        <v>13</v>
      </c>
      <c r="D4" s="5">
        <v>790</v>
      </c>
    </row>
    <row r="5" spans="2:4" x14ac:dyDescent="0.25">
      <c r="B5" s="4" t="s">
        <v>10</v>
      </c>
      <c r="C5" s="4" t="s">
        <v>14</v>
      </c>
      <c r="D5" s="5">
        <v>550</v>
      </c>
    </row>
    <row r="6" spans="2:4" x14ac:dyDescent="0.25">
      <c r="B6" s="4" t="s">
        <v>11</v>
      </c>
      <c r="C6" s="4" t="s">
        <v>15</v>
      </c>
      <c r="D6" s="5">
        <v>480</v>
      </c>
    </row>
    <row r="7" spans="2:4" x14ac:dyDescent="0.25">
      <c r="B7" s="4"/>
      <c r="C7" s="4" t="s">
        <v>16</v>
      </c>
      <c r="D7" s="5">
        <v>1022</v>
      </c>
    </row>
    <row r="8" spans="2:4" x14ac:dyDescent="0.25">
      <c r="B8" s="4"/>
      <c r="C8" s="4" t="s">
        <v>17</v>
      </c>
      <c r="D8" s="5">
        <v>260</v>
      </c>
    </row>
    <row r="9" spans="2:4" x14ac:dyDescent="0.25">
      <c r="B9" s="4"/>
      <c r="C9" s="4" t="s">
        <v>18</v>
      </c>
      <c r="D9" s="5">
        <v>48</v>
      </c>
    </row>
    <row r="10" spans="2:4" x14ac:dyDescent="0.25">
      <c r="B10" s="4"/>
      <c r="C10" s="4" t="s">
        <v>19</v>
      </c>
      <c r="D10" s="5">
        <v>390</v>
      </c>
    </row>
    <row r="11" spans="2:4" x14ac:dyDescent="0.25">
      <c r="B11" s="4"/>
      <c r="C11" s="4" t="s">
        <v>20</v>
      </c>
      <c r="D11" s="5">
        <v>1200</v>
      </c>
    </row>
    <row r="12" spans="2:4" x14ac:dyDescent="0.25">
      <c r="B12" s="4"/>
      <c r="C12" s="4" t="s">
        <v>21</v>
      </c>
      <c r="D12" s="5">
        <v>2400</v>
      </c>
    </row>
    <row r="13" spans="2:4" x14ac:dyDescent="0.25">
      <c r="B13" s="4"/>
      <c r="C13" s="4" t="s">
        <v>22</v>
      </c>
      <c r="D13" s="5">
        <v>99</v>
      </c>
    </row>
    <row r="14" spans="2:4" x14ac:dyDescent="0.25">
      <c r="B14" s="4"/>
      <c r="C14" s="4" t="s">
        <v>23</v>
      </c>
      <c r="D14" s="5">
        <v>77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C62"/>
  <sheetViews>
    <sheetView workbookViewId="0">
      <selection activeCell="A2" sqref="A2:A6 C2:C6"/>
    </sheetView>
  </sheetViews>
  <sheetFormatPr defaultRowHeight="15" x14ac:dyDescent="0.25"/>
  <cols>
    <col min="1" max="1" width="9.85546875" bestFit="1" customWidth="1"/>
    <col min="2" max="2" width="21.5703125" bestFit="1" customWidth="1"/>
    <col min="3" max="3" width="15.28515625" bestFit="1" customWidth="1"/>
  </cols>
  <sheetData>
    <row r="1" spans="1:3" x14ac:dyDescent="0.25">
      <c r="A1" s="16" t="s">
        <v>26</v>
      </c>
      <c r="B1" s="16"/>
      <c r="C1" s="16"/>
    </row>
    <row r="2" spans="1:3" x14ac:dyDescent="0.25">
      <c r="A2" s="9" t="s">
        <v>1</v>
      </c>
      <c r="B2" s="9" t="s">
        <v>27</v>
      </c>
      <c r="C2" s="9" t="s">
        <v>28</v>
      </c>
    </row>
    <row r="3" spans="1:3" x14ac:dyDescent="0.25">
      <c r="A3" s="10" t="s">
        <v>8</v>
      </c>
      <c r="B3" s="10">
        <f>COUNTIF(Vendas!$B$4:$B$8,A3)</f>
        <v>1</v>
      </c>
      <c r="C3" s="11">
        <f>SUMIF(Vendas!$B$4:$B$8,A3,Vendas!$H$4:$H$8)</f>
        <v>118.8</v>
      </c>
    </row>
    <row r="4" spans="1:3" x14ac:dyDescent="0.25">
      <c r="A4" s="10" t="s">
        <v>9</v>
      </c>
      <c r="B4" s="10">
        <f>COUNTIF(Vendas!$B$4:$B$8,A4)</f>
        <v>2</v>
      </c>
      <c r="C4" s="11">
        <f>SUMIF(Vendas!$B$4:$B$8,A4,Vendas!$H$4:$H$8)</f>
        <v>3124.8</v>
      </c>
    </row>
    <row r="5" spans="1:3" x14ac:dyDescent="0.25">
      <c r="A5" s="10" t="s">
        <v>10</v>
      </c>
      <c r="B5" s="10">
        <f>COUNTIF(Vendas!$B$4:$B$8,A5)</f>
        <v>1</v>
      </c>
      <c r="C5" s="11">
        <f>SUMIF(Vendas!$B$4:$B$8,A5,Vendas!$H$4:$H$8)</f>
        <v>550</v>
      </c>
    </row>
    <row r="6" spans="1:3" x14ac:dyDescent="0.25">
      <c r="A6" s="10" t="s">
        <v>11</v>
      </c>
      <c r="B6" s="10">
        <f>COUNTIF(Vendas!$B$4:$B$8,A6)</f>
        <v>1</v>
      </c>
      <c r="C6" s="11">
        <f>SUMIF(Vendas!$B$4:$B$8,A6,Vendas!$H$4:$H$8)</f>
        <v>48</v>
      </c>
    </row>
    <row r="7" spans="1:3" x14ac:dyDescent="0.25">
      <c r="A7" s="10"/>
      <c r="B7" s="10"/>
      <c r="C7" s="10"/>
    </row>
    <row r="8" spans="1:3" x14ac:dyDescent="0.25">
      <c r="A8" s="10"/>
      <c r="B8" s="10"/>
      <c r="C8" s="10"/>
    </row>
    <row r="9" spans="1:3" x14ac:dyDescent="0.25">
      <c r="A9" s="10"/>
      <c r="B9" s="10"/>
      <c r="C9" s="10"/>
    </row>
    <row r="10" spans="1:3" x14ac:dyDescent="0.25">
      <c r="A10" s="10"/>
      <c r="B10" s="10"/>
      <c r="C10" s="10"/>
    </row>
    <row r="11" spans="1:3" x14ac:dyDescent="0.25">
      <c r="A11" s="10"/>
      <c r="B11" s="10"/>
      <c r="C11" s="10"/>
    </row>
    <row r="12" spans="1:3" x14ac:dyDescent="0.25">
      <c r="A12" s="10"/>
      <c r="B12" s="10"/>
      <c r="C12" s="10"/>
    </row>
    <row r="13" spans="1:3" x14ac:dyDescent="0.25">
      <c r="A13" s="10"/>
      <c r="B13" s="10"/>
      <c r="C13" s="10"/>
    </row>
    <row r="14" spans="1:3" x14ac:dyDescent="0.25">
      <c r="A14" s="10"/>
      <c r="B14" s="10"/>
      <c r="C14" s="10"/>
    </row>
    <row r="15" spans="1:3" x14ac:dyDescent="0.25">
      <c r="A15" s="10"/>
      <c r="B15" s="10"/>
      <c r="C15" s="10"/>
    </row>
    <row r="16" spans="1:3" x14ac:dyDescent="0.25">
      <c r="A16" s="10"/>
      <c r="B16" s="10"/>
      <c r="C16" s="10"/>
    </row>
    <row r="17" spans="1:3" x14ac:dyDescent="0.25">
      <c r="A17" s="10"/>
      <c r="B17" s="10"/>
      <c r="C17" s="10"/>
    </row>
    <row r="18" spans="1:3" x14ac:dyDescent="0.25">
      <c r="A18" s="10"/>
      <c r="B18" s="10"/>
      <c r="C18" s="10"/>
    </row>
    <row r="19" spans="1:3" x14ac:dyDescent="0.25">
      <c r="A19" s="10"/>
      <c r="B19" s="10"/>
      <c r="C19" s="10"/>
    </row>
    <row r="20" spans="1:3" x14ac:dyDescent="0.25">
      <c r="A20" s="10"/>
      <c r="B20" s="10"/>
      <c r="C20" s="10"/>
    </row>
    <row r="21" spans="1:3" x14ac:dyDescent="0.25">
      <c r="A21" s="10"/>
      <c r="B21" s="10"/>
      <c r="C21" s="10"/>
    </row>
    <row r="22" spans="1:3" x14ac:dyDescent="0.25">
      <c r="A22" s="10"/>
      <c r="B22" s="10"/>
      <c r="C22" s="10"/>
    </row>
    <row r="23" spans="1:3" x14ac:dyDescent="0.25">
      <c r="A23" s="10"/>
      <c r="B23" s="10"/>
      <c r="C23" s="10"/>
    </row>
    <row r="24" spans="1:3" x14ac:dyDescent="0.25">
      <c r="A24" s="10"/>
      <c r="B24" s="10"/>
      <c r="C24" s="10"/>
    </row>
    <row r="25" spans="1:3" x14ac:dyDescent="0.25">
      <c r="A25" s="10"/>
      <c r="B25" s="10"/>
      <c r="C25" s="10"/>
    </row>
    <row r="26" spans="1:3" x14ac:dyDescent="0.25">
      <c r="A26" s="10"/>
      <c r="B26" s="10"/>
      <c r="C26" s="10"/>
    </row>
    <row r="27" spans="1:3" x14ac:dyDescent="0.25">
      <c r="A27" s="10"/>
      <c r="B27" s="10"/>
      <c r="C27" s="10"/>
    </row>
    <row r="28" spans="1:3" x14ac:dyDescent="0.25">
      <c r="A28" s="10"/>
      <c r="B28" s="10"/>
      <c r="C28" s="10"/>
    </row>
    <row r="29" spans="1:3" x14ac:dyDescent="0.25">
      <c r="A29" s="10"/>
      <c r="B29" s="10"/>
      <c r="C29" s="10"/>
    </row>
    <row r="30" spans="1:3" x14ac:dyDescent="0.25">
      <c r="A30" s="10"/>
      <c r="B30" s="10"/>
      <c r="C30" s="10"/>
    </row>
    <row r="31" spans="1:3" x14ac:dyDescent="0.25">
      <c r="A31" s="10"/>
      <c r="B31" s="10"/>
      <c r="C31" s="10"/>
    </row>
    <row r="32" spans="1:3" x14ac:dyDescent="0.25">
      <c r="A32" s="10"/>
      <c r="B32" s="10"/>
      <c r="C32" s="10"/>
    </row>
    <row r="33" spans="1:3" x14ac:dyDescent="0.25">
      <c r="A33" s="10"/>
      <c r="B33" s="10"/>
      <c r="C33" s="10"/>
    </row>
    <row r="34" spans="1:3" x14ac:dyDescent="0.25">
      <c r="A34" s="10"/>
      <c r="B34" s="10"/>
      <c r="C34" s="10"/>
    </row>
    <row r="35" spans="1:3" x14ac:dyDescent="0.25">
      <c r="A35" s="10"/>
      <c r="B35" s="10"/>
      <c r="C35" s="10"/>
    </row>
    <row r="36" spans="1:3" x14ac:dyDescent="0.25">
      <c r="A36" s="10"/>
      <c r="B36" s="10"/>
      <c r="C36" s="10"/>
    </row>
    <row r="37" spans="1:3" x14ac:dyDescent="0.25">
      <c r="A37" s="10"/>
      <c r="B37" s="10"/>
      <c r="C37" s="10"/>
    </row>
    <row r="38" spans="1:3" x14ac:dyDescent="0.25">
      <c r="A38" s="10"/>
      <c r="B38" s="10"/>
      <c r="C38" s="10"/>
    </row>
    <row r="39" spans="1:3" x14ac:dyDescent="0.25">
      <c r="A39" s="10"/>
      <c r="B39" s="10"/>
      <c r="C39" s="10"/>
    </row>
    <row r="40" spans="1:3" x14ac:dyDescent="0.25">
      <c r="A40" s="10"/>
      <c r="B40" s="10"/>
      <c r="C40" s="10"/>
    </row>
    <row r="41" spans="1:3" x14ac:dyDescent="0.25">
      <c r="A41" s="10"/>
      <c r="B41" s="10"/>
      <c r="C41" s="10"/>
    </row>
    <row r="42" spans="1:3" x14ac:dyDescent="0.25">
      <c r="A42" s="10"/>
      <c r="B42" s="10"/>
      <c r="C42" s="10"/>
    </row>
    <row r="43" spans="1:3" x14ac:dyDescent="0.25">
      <c r="A43" s="10"/>
      <c r="B43" s="10"/>
      <c r="C43" s="10"/>
    </row>
    <row r="44" spans="1:3" x14ac:dyDescent="0.25">
      <c r="A44" s="10"/>
      <c r="B44" s="10"/>
      <c r="C44" s="10"/>
    </row>
    <row r="45" spans="1:3" x14ac:dyDescent="0.25">
      <c r="A45" s="10"/>
      <c r="B45" s="10"/>
      <c r="C45" s="10"/>
    </row>
    <row r="46" spans="1:3" x14ac:dyDescent="0.25">
      <c r="A46" s="10"/>
      <c r="B46" s="10"/>
      <c r="C46" s="10"/>
    </row>
    <row r="47" spans="1:3" x14ac:dyDescent="0.25">
      <c r="A47" s="10"/>
      <c r="B47" s="10"/>
      <c r="C47" s="10"/>
    </row>
    <row r="48" spans="1:3" x14ac:dyDescent="0.25">
      <c r="A48" s="10"/>
      <c r="B48" s="10"/>
      <c r="C48" s="10"/>
    </row>
    <row r="49" spans="1:3" x14ac:dyDescent="0.25">
      <c r="A49" s="10"/>
      <c r="B49" s="10"/>
      <c r="C49" s="10"/>
    </row>
    <row r="50" spans="1:3" x14ac:dyDescent="0.25">
      <c r="A50" s="10"/>
      <c r="B50" s="10"/>
      <c r="C50" s="10"/>
    </row>
    <row r="51" spans="1:3" x14ac:dyDescent="0.25">
      <c r="A51" s="10"/>
      <c r="B51" s="10"/>
      <c r="C51" s="10"/>
    </row>
    <row r="52" spans="1:3" x14ac:dyDescent="0.25">
      <c r="A52" s="10"/>
      <c r="B52" s="10"/>
      <c r="C52" s="10"/>
    </row>
    <row r="53" spans="1:3" x14ac:dyDescent="0.25">
      <c r="A53" s="10"/>
      <c r="B53" s="10"/>
      <c r="C53" s="10"/>
    </row>
    <row r="54" spans="1:3" x14ac:dyDescent="0.25">
      <c r="A54" s="10"/>
      <c r="B54" s="10"/>
      <c r="C54" s="10"/>
    </row>
    <row r="55" spans="1:3" x14ac:dyDescent="0.25">
      <c r="A55" s="10"/>
      <c r="B55" s="10"/>
      <c r="C55" s="10"/>
    </row>
    <row r="56" spans="1:3" x14ac:dyDescent="0.25">
      <c r="A56" s="10"/>
      <c r="B56" s="10"/>
      <c r="C56" s="10"/>
    </row>
    <row r="57" spans="1:3" x14ac:dyDescent="0.25">
      <c r="A57" s="10"/>
      <c r="B57" s="10"/>
      <c r="C57" s="10"/>
    </row>
    <row r="58" spans="1:3" x14ac:dyDescent="0.25">
      <c r="A58" s="10"/>
      <c r="B58" s="10"/>
      <c r="C58" s="10"/>
    </row>
    <row r="59" spans="1:3" x14ac:dyDescent="0.25">
      <c r="A59" s="10"/>
      <c r="B59" s="10"/>
      <c r="C59" s="10"/>
    </row>
    <row r="60" spans="1:3" x14ac:dyDescent="0.25">
      <c r="A60" s="10"/>
      <c r="B60" s="10"/>
      <c r="C60" s="10"/>
    </row>
    <row r="61" spans="1:3" x14ac:dyDescent="0.25">
      <c r="A61" s="10"/>
      <c r="B61" s="10"/>
      <c r="C61" s="10"/>
    </row>
    <row r="62" spans="1:3" x14ac:dyDescent="0.25">
      <c r="A62" s="10"/>
      <c r="B62" s="10"/>
      <c r="C62" s="10"/>
    </row>
  </sheetData>
  <mergeCells count="1">
    <mergeCell ref="A1:C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RelatDin4</vt:lpstr>
      <vt:lpstr>Vendas</vt:lpstr>
      <vt:lpstr>Dados</vt:lpstr>
      <vt:lpstr>Resumo de Vendas</vt:lpstr>
      <vt:lpstr>Gráf1</vt:lpstr>
      <vt:lpstr>Vendas!Print_Area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2019-04-12T21:35:43Z</dcterms:modified>
</cp:coreProperties>
</file>